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<sst xmlns="http://schemas.openxmlformats.org/spreadsheetml/2006/main" count="275" uniqueCount="190">
  <si>
    <t>Category</t>
  </si>
  <si>
    <t>Test Case ID</t>
  </si>
  <si>
    <t>Test Case Description</t>
  </si>
  <si>
    <t>Steps to Test</t>
  </si>
  <si>
    <t>Expected Result</t>
  </si>
  <si>
    <t>Status</t>
  </si>
  <si>
    <t>Tested By</t>
  </si>
  <si>
    <t>Date Tested</t>
  </si>
  <si>
    <t>Notes</t>
  </si>
  <si>
    <t>1. Basic Transaction Flow</t>
  </si>
  <si>
    <t>TC-001</t>
  </si>
  <si>
    <t>Create new transaction (draft)</t>
  </si>
  <si>
    <t>1. Navigate to Daily Sales
2. Click "New Transaction"
3. Fill in patient, date, record number
4. Click "Save Draft"</t>
  </si>
  <si>
    <t>Transaction saved as draft, shows in draft list with "Draft" badge</t>
  </si>
  <si>
    <t>Not Tested</t>
  </si>
  <si>
    <t>TC-002</t>
  </si>
  <si>
    <t>Add products to transaction</t>
  </si>
  <si>
    <t>1. Open transaction
2. Select product from dropdown
3. Enter amount
4. Click "Save Draft"</t>
  </si>
  <si>
    <t>Product appears in transaction details, total calculates correctly</t>
  </si>
  <si>
    <t>TC-003</t>
  </si>
  <si>
    <t>Add multiple products</t>
  </si>
  <si>
    <t>1. Add product 1 with amount
2. Add product 2 with amount
3. Save draft</t>
  </si>
  <si>
    <t>All products saved, totals sum correctly</t>
  </si>
  <si>
    <t>TC-004</t>
  </si>
  <si>
    <t>Add payment methods (tenders)</t>
  </si>
  <si>
    <t>1. Select tender (Cash/Credit/etc)
2. Enter amount
3. Save draft</t>
  </si>
  <si>
    <t>Payment method saved, balance calculated (total - payment)</t>
  </si>
  <si>
    <t>TC-005</t>
  </si>
  <si>
    <t>Add line-level discount</t>
  </si>
  <si>
    <t>1. Add product
2. Enter discount amount
3. Save</t>
  </si>
  <si>
    <t>Discount applied to product line, net amount = amount - discount</t>
  </si>
  <si>
    <t>TC-006</t>
  </si>
  <si>
    <t>Add transaction-level discount</t>
  </si>
  <si>
    <t>1. Add products
2. Enter transaction discount
3. Save</t>
  </si>
  <si>
    <t>Discount applied to total, final total reduced</t>
  </si>
  <si>
    <t>TC-007</t>
  </si>
  <si>
    <t>Edit draft transaction</t>
  </si>
  <si>
    <t>1. Open draft transaction
2. Modify fields
3. Save</t>
  </si>
  <si>
    <t>Changes saved, audit log shows update</t>
  </si>
  <si>
    <t>TC-008</t>
  </si>
  <si>
    <t>Delete draft transaction</t>
  </si>
  <si>
    <t>1. Open draft
2. Click Delete
3. Confirm</t>
  </si>
  <si>
    <t>Transaction removed from list</t>
  </si>
  <si>
    <t>TC-009</t>
  </si>
  <si>
    <t>Submit transaction for approval</t>
  </si>
  <si>
    <t>1. Open draft
2. Click "Save &amp; Submit"
3. Confirm</t>
  </si>
  <si>
    <t>Status changes to "Submitted", shows submitted date, appears in pending approvals</t>
  </si>
  <si>
    <t>2. Approval Workflow</t>
  </si>
  <si>
    <t>TC-101</t>
  </si>
  <si>
    <t>View pending approvals (Admin)</t>
  </si>
  <si>
    <t>1. Login as Admin
2. Navigate to Pending Approvals</t>
  </si>
  <si>
    <t>All submitted transactions appear in list</t>
  </si>
  <si>
    <t>TC-102</t>
  </si>
  <si>
    <t>Approve transaction</t>
  </si>
  <si>
    <t>1. View pending transaction
2. Click "Approve"
3. Confirm</t>
  </si>
  <si>
    <t>Status changes to "Approved", badge shows green, removed from pending list, audit log updated</t>
  </si>
  <si>
    <t>TC-103</t>
  </si>
  <si>
    <t>Disapprove transaction (return to draft)</t>
  </si>
  <si>
    <t>1. View submitted transaction
2. Click "Return to Draft"
3. Enter reason
4. Submit</t>
  </si>
  <si>
    <t>Status returns to "Draft", reason recorded in description, audit log shows return with reason</t>
  </si>
  <si>
    <t>TC-104</t>
  </si>
  <si>
    <t>Staff sees disapproval reason</t>
  </si>
  <si>
    <t>1. Login as staff
2. Open returned transaction
3. Check description</t>
  </si>
  <si>
    <t>Description shows disapproval reason with timestamp and admin name</t>
  </si>
  <si>
    <t>TC-105</t>
  </si>
  <si>
    <t>Unapprove transaction (Superuser only)</t>
  </si>
  <si>
    <t>1. Login as Superuser
2. Open approved transaction
3. Click "Unapprove"</t>
  </si>
  <si>
    <t>Transaction returned to submitted status, approval removed</t>
  </si>
  <si>
    <t>3. Cancellation Workflow</t>
  </si>
  <si>
    <t>TC-201</t>
  </si>
  <si>
    <t>Request cancellation (Staff)</t>
  </si>
  <si>
    <t>1. Login as Staff
2. View submitted transaction
3. Click "Request Cancellation"
4. Enter reason
5. Submit</t>
  </si>
  <si>
    <t>Badge shows "Cancellation Requested", reason saved, admin notified</t>
  </si>
  <si>
    <t>TC-202</t>
  </si>
  <si>
    <t>Approve cancellation request (Admin)</t>
  </si>
  <si>
    <t>1. Login as Admin
2. View transaction with cancellation request
3. Read reason
4. Click "Approve Cancellation"</t>
  </si>
  <si>
    <t>Transaction status changes to "Cancelled", cancellation date recorded, audit log updated</t>
  </si>
  <si>
    <t>TC-203</t>
  </si>
  <si>
    <t>Reject cancellation request (Admin)</t>
  </si>
  <si>
    <t>1. View transaction with cancellation request
2. Click "Reject Cancellation"</t>
  </si>
  <si>
    <t>Cancellation request cleared, transaction remains submitted, audit log shows rejection</t>
  </si>
  <si>
    <t>TC-204</t>
  </si>
  <si>
    <t>Cannot edit cancelled transaction</t>
  </si>
  <si>
    <t>1. Open cancelled transaction
2. Check available actions</t>
  </si>
  <si>
    <t>Edit button not available, transaction is read-only</t>
  </si>
  <si>
    <t>TC-205</t>
  </si>
  <si>
    <t>Un-cancel transaction (draft only)</t>
  </si>
  <si>
    <t>1. Cancel draft transaction
2. Click "Un-cancel"</t>
  </si>
  <si>
    <t>Transaction returns to draft status, can be edited</t>
  </si>
  <si>
    <t>4. Audit Trail &amp; History</t>
  </si>
  <si>
    <t>TC-301</t>
  </si>
  <si>
    <t>View audit history</t>
  </si>
  <si>
    <t>1. Open any transaction
2. Click "View History" button</t>
  </si>
  <si>
    <t>Audit history page opens showing timeline of all changes</t>
  </si>
  <si>
    <t>TC-302</t>
  </si>
  <si>
    <t>Verify creation logged</t>
  </si>
  <si>
    <t>1. Create new transaction
2. View history</t>
  </si>
  <si>
    <t>Shows "created" action with user and timestamp</t>
  </si>
  <si>
    <t>TC-303</t>
  </si>
  <si>
    <t>Verify update logged</t>
  </si>
  <si>
    <t>1. Edit transaction
2. Change fields
3. Save
4. View history</t>
  </si>
  <si>
    <t>Shows "updated" action with changed fields (old → new values)</t>
  </si>
  <si>
    <t>TC-304</t>
  </si>
  <si>
    <t>Verify submit logged</t>
  </si>
  <si>
    <t>1. Submit transaction
2. View history</t>
  </si>
  <si>
    <t>Shows "submitted" action with user and timestamp</t>
  </si>
  <si>
    <t>TC-305</t>
  </si>
  <si>
    <t>Verify approval logged</t>
  </si>
  <si>
    <t>1. Approve transaction
2. View history</t>
  </si>
  <si>
    <t>Shows "approved" action with admin user and timestamp</t>
  </si>
  <si>
    <t>TC-306</t>
  </si>
  <si>
    <t>Verify return to draft logged</t>
  </si>
  <si>
    <t>1. Return transaction to draft
2. View history</t>
  </si>
  <si>
    <t>Shows "returned_to_draft" action with reason</t>
  </si>
  <si>
    <t>TC-307</t>
  </si>
  <si>
    <t>Verify cancellation request logged</t>
  </si>
  <si>
    <t>1. Request cancellation
2. View history</t>
  </si>
  <si>
    <t>Shows "cancellation_requested" action with reason</t>
  </si>
  <si>
    <t>TC-308</t>
  </si>
  <si>
    <t>Verify cancellation approval logged</t>
  </si>
  <si>
    <t>1. Approve cancellation
2. View history</t>
  </si>
  <si>
    <t>Shows "cancellation_approved" action</t>
  </si>
  <si>
    <t>5. Patient Management</t>
  </si>
  <si>
    <t>TC-401</t>
  </si>
  <si>
    <t>Add new patient via popup</t>
  </si>
  <si>
    <t>1. In transaction form
2. Click "Add New" next to Patient
3. Fill Last Name, First Name, Middle Name
4. Click Save</t>
  </si>
  <si>
    <t>Patient added to system, appears in dropdown as "Last Name, First Name Middle Name"</t>
  </si>
  <si>
    <t>TC-402</t>
  </si>
  <si>
    <t>Search patient by name</t>
  </si>
  <si>
    <t>1. In Patient dropdown
2. Type patient name
3. Check results</t>
  </si>
  <si>
    <t>Autocomplete shows matching patients, searches across all name fields</t>
  </si>
  <si>
    <t>TC-403</t>
  </si>
  <si>
    <t>Patient name displays correctly</t>
  </si>
  <si>
    <t>1. Select patient
2. Save transaction
3. View in list</t>
  </si>
  <si>
    <t>Patient name shows as "Last Name, First Name Middle Name" format</t>
  </si>
  <si>
    <t>TC-404</t>
  </si>
  <si>
    <t>Add patient with sex</t>
  </si>
  <si>
    <t>1. Add new patient
2. Select sex from dropdown
3. Save</t>
  </si>
  <si>
    <t>Sex saved and displays correctly</t>
  </si>
  <si>
    <t>6. Navigation &amp; UI</t>
  </si>
  <si>
    <t>TC-501</t>
  </si>
  <si>
    <t>Return URL from Daily Sales</t>
  </si>
  <si>
    <t>1. Navigate to transaction from Daily Sales
2. Click Cancel or Save
3. Check redirect</t>
  </si>
  <si>
    <t>Returns to Daily Sales page</t>
  </si>
  <si>
    <t>TC-502</t>
  </si>
  <si>
    <t>Return URL from Drafts</t>
  </si>
  <si>
    <t>1. Navigate to transaction from Drafts page
2. Click Cancel or Save
3. Check redirect</t>
  </si>
  <si>
    <t>Returns to Drafts page</t>
  </si>
  <si>
    <t>TC-503</t>
  </si>
  <si>
    <t>View drafts page</t>
  </si>
  <si>
    <t>1. Click "Drafts" from dashboard or daily sales</t>
  </si>
  <si>
    <t>Shows all draft transactions regardless of date</t>
  </si>
  <si>
    <t>TC-504</t>
  </si>
  <si>
    <t>Filter by date</t>
  </si>
  <si>
    <t>1. On Daily Sales page
2. Select different date
3. Check results</t>
  </si>
  <si>
    <t>Shows transactions for selected date plus all drafts</t>
  </si>
  <si>
    <t>TC-505</t>
  </si>
  <si>
    <t>Status badges display correctly</t>
  </si>
  <si>
    <t>1. View transactions in different statuses
2. Check badge colors</t>
  </si>
  <si>
    <t>Draft=yellow, Submitted=blue, Approved=green, Cancelled=red, Cancellation Requested=orange</t>
  </si>
  <si>
    <t>7. Edge Cases &amp; Validation</t>
  </si>
  <si>
    <t>TC-601</t>
  </si>
  <si>
    <t>Cannot submit empty transaction</t>
  </si>
  <si>
    <t>1. Create new transaction
2. Leave all fields empty
3. Click Submit</t>
  </si>
  <si>
    <t>Validation error, transaction not submitted</t>
  </si>
  <si>
    <t>TC-602</t>
  </si>
  <si>
    <t>Cannot have negative amounts</t>
  </si>
  <si>
    <t>1. Enter negative amount in product line
2. Save</t>
  </si>
  <si>
    <t>Validation error or amount converted to positive</t>
  </si>
  <si>
    <t>TC-603</t>
  </si>
  <si>
    <t>Discount cannot exceed amount</t>
  </si>
  <si>
    <t>1. Enter amount = 100
2. Enter discount = 150
3. Save</t>
  </si>
  <si>
    <t>Validation error, discount cannot be greater than amount</t>
  </si>
  <si>
    <t>TC-604</t>
  </si>
  <si>
    <t>Balance calculation correct</t>
  </si>
  <si>
    <t>1. Add products totaling 1000
2. Add discount 100
3. Add payment 500
4. Check balance</t>
  </si>
  <si>
    <t>Balance = (1000 - 100) - 500 = 400</t>
  </si>
  <si>
    <t>TC-605</t>
  </si>
  <si>
    <t>Cannot edit submitted transaction (non-admin)</t>
  </si>
  <si>
    <t>1. Login as staff
2. Open submitted transaction
3. Check available actions</t>
  </si>
  <si>
    <t>Edit button not available, can only request cancellation</t>
  </si>
  <si>
    <t>TC-606</t>
  </si>
  <si>
    <t>Cannot delete submitted transaction</t>
  </si>
  <si>
    <t>1. Open submitted transaction
2. Check for delete button</t>
  </si>
  <si>
    <t>Delete button not available</t>
  </si>
  <si>
    <t>Total Tests</t>
  </si>
  <si>
    <t>Passed</t>
  </si>
  <si>
    <t>Failed</t>
  </si>
  <si>
    <t>Pass %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</si>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</sst>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6473"/>
        <bgColor indexed="64"/>
      </patternFill>
    </fill>
    <fill>
      <patternFill patternType="solid">
        <fgColor rgb="FFE6F3F5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cols>
    <col min="1" max="1" width="30.7109375" customWidth="1"/>
    <col min="2" max="2" width="12.7109375" customWidth="1"/>
    <col min="3" max="3" width="35.7109375" customWidth="1"/>
    <col min="4" max="5" width="50.7109375" customWidth="1"/>
    <col min="6" max="6" width="15.7109375" customWidth="1"/>
    <col min="7" max="7" width="20.7109375" customWidth="1"/>
    <col min="8" max="8" width="15.7109375" customWidth="1"/>
    <col min="9" max="9" width="40.710937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/>
      <c r="H2" s="3"/>
      <c r="I2" s="3"/>
    </row>
    <row r="3" spans="1:9" ht="60" customHeight="1">
      <c r="A3" s="2" t="s">
        <v>9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14</v>
      </c>
      <c r="G3" s="3"/>
      <c r="H3" s="3"/>
      <c r="I3" s="3"/>
    </row>
    <row r="4" spans="1:9" ht="60" customHeight="1">
      <c r="A4" s="2" t="s">
        <v>9</v>
      </c>
      <c r="B4" s="3" t="s">
        <v>19</v>
      </c>
      <c r="C4" s="3" t="s">
        <v>20</v>
      </c>
      <c r="D4" s="3" t="s">
        <v>21</v>
      </c>
      <c r="E4" s="3" t="s">
        <v>22</v>
      </c>
      <c r="F4" s="4" t="s">
        <v>14</v>
      </c>
      <c r="G4" s="3"/>
      <c r="H4" s="3"/>
      <c r="I4" s="3"/>
    </row>
    <row r="5" spans="1:9" ht="60" customHeight="1">
      <c r="A5" s="2" t="s">
        <v>9</v>
      </c>
      <c r="B5" s="3" t="s">
        <v>23</v>
      </c>
      <c r="C5" s="3" t="s">
        <v>24</v>
      </c>
      <c r="D5" s="3" t="s">
        <v>25</v>
      </c>
      <c r="E5" s="3" t="s">
        <v>26</v>
      </c>
      <c r="F5" s="4" t="s">
        <v>14</v>
      </c>
      <c r="G5" s="3"/>
      <c r="H5" s="3"/>
      <c r="I5" s="3"/>
    </row>
    <row r="6" spans="1:9" ht="60" customHeight="1">
      <c r="A6" s="2" t="s">
        <v>9</v>
      </c>
      <c r="B6" s="3" t="s">
        <v>27</v>
      </c>
      <c r="C6" s="3" t="s">
        <v>28</v>
      </c>
      <c r="D6" s="3" t="s">
        <v>29</v>
      </c>
      <c r="E6" s="3" t="s">
        <v>30</v>
      </c>
      <c r="F6" s="4" t="s">
        <v>14</v>
      </c>
      <c r="G6" s="3"/>
      <c r="H6" s="3"/>
      <c r="I6" s="3"/>
    </row>
    <row r="7" spans="1:9" ht="60" customHeight="1">
      <c r="A7" s="2" t="s">
        <v>9</v>
      </c>
      <c r="B7" s="3" t="s">
        <v>31</v>
      </c>
      <c r="C7" s="3" t="s">
        <v>32</v>
      </c>
      <c r="D7" s="3" t="s">
        <v>33</v>
      </c>
      <c r="E7" s="3" t="s">
        <v>34</v>
      </c>
      <c r="F7" s="4" t="s">
        <v>14</v>
      </c>
      <c r="G7" s="3"/>
      <c r="H7" s="3"/>
      <c r="I7" s="3"/>
    </row>
    <row r="8" spans="1:9" ht="60" customHeight="1">
      <c r="A8" s="2" t="s">
        <v>9</v>
      </c>
      <c r="B8" s="3" t="s">
        <v>35</v>
      </c>
      <c r="C8" s="3" t="s">
        <v>36</v>
      </c>
      <c r="D8" s="3" t="s">
        <v>37</v>
      </c>
      <c r="E8" s="3" t="s">
        <v>38</v>
      </c>
      <c r="F8" s="4" t="s">
        <v>14</v>
      </c>
      <c r="G8" s="3"/>
      <c r="H8" s="3"/>
      <c r="I8" s="3"/>
    </row>
    <row r="9" spans="1:9" ht="60" customHeight="1">
      <c r="A9" s="2" t="s">
        <v>9</v>
      </c>
      <c r="B9" s="3" t="s">
        <v>39</v>
      </c>
      <c r="C9" s="3" t="s">
        <v>40</v>
      </c>
      <c r="D9" s="3" t="s">
        <v>41</v>
      </c>
      <c r="E9" s="3" t="s">
        <v>42</v>
      </c>
      <c r="F9" s="4" t="s">
        <v>14</v>
      </c>
      <c r="G9" s="3"/>
      <c r="H9" s="3"/>
      <c r="I9" s="3"/>
    </row>
    <row r="10" spans="1:9" ht="60" customHeight="1">
      <c r="A10" s="2" t="s">
        <v>9</v>
      </c>
      <c r="B10" s="3" t="s">
        <v>43</v>
      </c>
      <c r="C10" s="3" t="s">
        <v>44</v>
      </c>
      <c r="D10" s="3" t="s">
        <v>45</v>
      </c>
      <c r="E10" s="3" t="s">
        <v>46</v>
      </c>
      <c r="F10" s="4" t="s">
        <v>14</v>
      </c>
      <c r="G10" s="3"/>
      <c r="H10" s="3"/>
      <c r="I10" s="3"/>
    </row>
    <row r="11" spans="1:9" ht="60" customHeight="1">
      <c r="A11" s="2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4" t="s">
        <v>14</v>
      </c>
      <c r="G11" s="3"/>
      <c r="H11" s="3"/>
      <c r="I11" s="3"/>
    </row>
    <row r="12" spans="1:9" ht="60" customHeight="1">
      <c r="A12" s="2" t="s">
        <v>47</v>
      </c>
      <c r="B12" s="3" t="s">
        <v>52</v>
      </c>
      <c r="C12" s="3" t="s">
        <v>53</v>
      </c>
      <c r="D12" s="3" t="s">
        <v>54</v>
      </c>
      <c r="E12" s="3" t="s">
        <v>55</v>
      </c>
      <c r="F12" s="4" t="s">
        <v>14</v>
      </c>
      <c r="G12" s="3"/>
      <c r="H12" s="3"/>
      <c r="I12" s="3"/>
    </row>
    <row r="13" spans="1:9" ht="60" customHeight="1">
      <c r="A13" s="2" t="s">
        <v>47</v>
      </c>
      <c r="B13" s="3" t="s">
        <v>56</v>
      </c>
      <c r="C13" s="3" t="s">
        <v>57</v>
      </c>
      <c r="D13" s="3" t="s">
        <v>58</v>
      </c>
      <c r="E13" s="3" t="s">
        <v>59</v>
      </c>
      <c r="F13" s="4" t="s">
        <v>14</v>
      </c>
      <c r="G13" s="3"/>
      <c r="H13" s="3"/>
      <c r="I13" s="3"/>
    </row>
    <row r="14" spans="1:9" ht="60" customHeight="1">
      <c r="A14" s="2" t="s">
        <v>47</v>
      </c>
      <c r="B14" s="3" t="s">
        <v>60</v>
      </c>
      <c r="C14" s="3" t="s">
        <v>61</v>
      </c>
      <c r="D14" s="3" t="s">
        <v>62</v>
      </c>
      <c r="E14" s="3" t="s">
        <v>63</v>
      </c>
      <c r="F14" s="4" t="s">
        <v>14</v>
      </c>
      <c r="G14" s="3"/>
      <c r="H14" s="3"/>
      <c r="I14" s="3"/>
    </row>
    <row r="15" spans="1:9" ht="60" customHeight="1">
      <c r="A15" s="2" t="s">
        <v>47</v>
      </c>
      <c r="B15" s="3" t="s">
        <v>64</v>
      </c>
      <c r="C15" s="3" t="s">
        <v>65</v>
      </c>
      <c r="D15" s="3" t="s">
        <v>66</v>
      </c>
      <c r="E15" s="3" t="s">
        <v>67</v>
      </c>
      <c r="F15" s="4" t="s">
        <v>14</v>
      </c>
      <c r="G15" s="3"/>
      <c r="H15" s="3"/>
      <c r="I15" s="3"/>
    </row>
    <row r="16" spans="1:9" ht="60" customHeight="1">
      <c r="A16" s="2" t="s">
        <v>68</v>
      </c>
      <c r="B16" s="3" t="s">
        <v>69</v>
      </c>
      <c r="C16" s="3" t="s">
        <v>70</v>
      </c>
      <c r="D16" s="3" t="s">
        <v>71</v>
      </c>
      <c r="E16" s="3" t="s">
        <v>72</v>
      </c>
      <c r="F16" s="4" t="s">
        <v>14</v>
      </c>
      <c r="G16" s="3"/>
      <c r="H16" s="3"/>
      <c r="I16" s="3"/>
    </row>
    <row r="17" spans="1:9" ht="60" customHeight="1">
      <c r="A17" s="2" t="s">
        <v>68</v>
      </c>
      <c r="B17" s="3" t="s">
        <v>73</v>
      </c>
      <c r="C17" s="3" t="s">
        <v>74</v>
      </c>
      <c r="D17" s="3" t="s">
        <v>75</v>
      </c>
      <c r="E17" s="3" t="s">
        <v>76</v>
      </c>
      <c r="F17" s="4" t="s">
        <v>14</v>
      </c>
      <c r="G17" s="3"/>
      <c r="H17" s="3"/>
      <c r="I17" s="3"/>
    </row>
    <row r="18" spans="1:9" ht="60" customHeight="1">
      <c r="A18" s="2" t="s">
        <v>68</v>
      </c>
      <c r="B18" s="3" t="s">
        <v>77</v>
      </c>
      <c r="C18" s="3" t="s">
        <v>78</v>
      </c>
      <c r="D18" s="3" t="s">
        <v>79</v>
      </c>
      <c r="E18" s="3" t="s">
        <v>80</v>
      </c>
      <c r="F18" s="4" t="s">
        <v>14</v>
      </c>
      <c r="G18" s="3"/>
      <c r="H18" s="3"/>
      <c r="I18" s="3"/>
    </row>
    <row r="19" spans="1:9" ht="60" customHeight="1">
      <c r="A19" s="2" t="s">
        <v>68</v>
      </c>
      <c r="B19" s="3" t="s">
        <v>81</v>
      </c>
      <c r="C19" s="3" t="s">
        <v>82</v>
      </c>
      <c r="D19" s="3" t="s">
        <v>83</v>
      </c>
      <c r="E19" s="3" t="s">
        <v>84</v>
      </c>
      <c r="F19" s="4" t="s">
        <v>14</v>
      </c>
      <c r="G19" s="3"/>
      <c r="H19" s="3"/>
      <c r="I19" s="3"/>
    </row>
    <row r="20" spans="1:9" ht="60" customHeight="1">
      <c r="A20" s="2" t="s">
        <v>68</v>
      </c>
      <c r="B20" s="3" t="s">
        <v>85</v>
      </c>
      <c r="C20" s="3" t="s">
        <v>86</v>
      </c>
      <c r="D20" s="3" t="s">
        <v>87</v>
      </c>
      <c r="E20" s="3" t="s">
        <v>88</v>
      </c>
      <c r="F20" s="4" t="s">
        <v>14</v>
      </c>
      <c r="G20" s="3"/>
      <c r="H20" s="3"/>
      <c r="I20" s="3"/>
    </row>
    <row r="21" spans="1:9" ht="60" customHeight="1">
      <c r="A21" s="2" t="s">
        <v>89</v>
      </c>
      <c r="B21" s="3" t="s">
        <v>90</v>
      </c>
      <c r="C21" s="3" t="s">
        <v>91</v>
      </c>
      <c r="D21" s="3" t="s">
        <v>92</v>
      </c>
      <c r="E21" s="3" t="s">
        <v>93</v>
      </c>
      <c r="F21" s="4" t="s">
        <v>14</v>
      </c>
      <c r="G21" s="3"/>
      <c r="H21" s="3"/>
      <c r="I21" s="3"/>
    </row>
    <row r="22" spans="1:9" ht="60" customHeight="1">
      <c r="A22" s="2" t="s">
        <v>89</v>
      </c>
      <c r="B22" s="3" t="s">
        <v>94</v>
      </c>
      <c r="C22" s="3" t="s">
        <v>95</v>
      </c>
      <c r="D22" s="3" t="s">
        <v>96</v>
      </c>
      <c r="E22" s="3" t="s">
        <v>97</v>
      </c>
      <c r="F22" s="4" t="s">
        <v>14</v>
      </c>
      <c r="G22" s="3"/>
      <c r="H22" s="3"/>
      <c r="I22" s="3"/>
    </row>
    <row r="23" spans="1:9" ht="60" customHeight="1">
      <c r="A23" s="2" t="s">
        <v>89</v>
      </c>
      <c r="B23" s="3" t="s">
        <v>98</v>
      </c>
      <c r="C23" s="3" t="s">
        <v>99</v>
      </c>
      <c r="D23" s="3" t="s">
        <v>100</v>
      </c>
      <c r="E23" s="3" t="s">
        <v>101</v>
      </c>
      <c r="F23" s="4" t="s">
        <v>14</v>
      </c>
      <c r="G23" s="3"/>
      <c r="H23" s="3"/>
      <c r="I23" s="3"/>
    </row>
    <row r="24" spans="1:9" ht="60" customHeight="1">
      <c r="A24" s="2" t="s">
        <v>89</v>
      </c>
      <c r="B24" s="3" t="s">
        <v>102</v>
      </c>
      <c r="C24" s="3" t="s">
        <v>103</v>
      </c>
      <c r="D24" s="3" t="s">
        <v>104</v>
      </c>
      <c r="E24" s="3" t="s">
        <v>105</v>
      </c>
      <c r="F24" s="4" t="s">
        <v>14</v>
      </c>
      <c r="G24" s="3"/>
      <c r="H24" s="3"/>
      <c r="I24" s="3"/>
    </row>
    <row r="25" spans="1:9" ht="60" customHeight="1">
      <c r="A25" s="2" t="s">
        <v>89</v>
      </c>
      <c r="B25" s="3" t="s">
        <v>106</v>
      </c>
      <c r="C25" s="3" t="s">
        <v>107</v>
      </c>
      <c r="D25" s="3" t="s">
        <v>108</v>
      </c>
      <c r="E25" s="3" t="s">
        <v>109</v>
      </c>
      <c r="F25" s="4" t="s">
        <v>14</v>
      </c>
      <c r="G25" s="3"/>
      <c r="H25" s="3"/>
      <c r="I25" s="3"/>
    </row>
    <row r="26" spans="1:9" ht="60" customHeight="1">
      <c r="A26" s="2" t="s">
        <v>89</v>
      </c>
      <c r="B26" s="3" t="s">
        <v>110</v>
      </c>
      <c r="C26" s="3" t="s">
        <v>111</v>
      </c>
      <c r="D26" s="3" t="s">
        <v>112</v>
      </c>
      <c r="E26" s="3" t="s">
        <v>113</v>
      </c>
      <c r="F26" s="4" t="s">
        <v>14</v>
      </c>
      <c r="G26" s="3"/>
      <c r="H26" s="3"/>
      <c r="I26" s="3"/>
    </row>
    <row r="27" spans="1:9" ht="60" customHeight="1">
      <c r="A27" s="2" t="s">
        <v>89</v>
      </c>
      <c r="B27" s="3" t="s">
        <v>114</v>
      </c>
      <c r="C27" s="3" t="s">
        <v>115</v>
      </c>
      <c r="D27" s="3" t="s">
        <v>116</v>
      </c>
      <c r="E27" s="3" t="s">
        <v>117</v>
      </c>
      <c r="F27" s="4" t="s">
        <v>14</v>
      </c>
      <c r="G27" s="3"/>
      <c r="H27" s="3"/>
      <c r="I27" s="3"/>
    </row>
    <row r="28" spans="1:9" ht="60" customHeight="1">
      <c r="A28" s="2" t="s">
        <v>89</v>
      </c>
      <c r="B28" s="3" t="s">
        <v>118</v>
      </c>
      <c r="C28" s="3" t="s">
        <v>119</v>
      </c>
      <c r="D28" s="3" t="s">
        <v>120</v>
      </c>
      <c r="E28" s="3" t="s">
        <v>121</v>
      </c>
      <c r="F28" s="4" t="s">
        <v>14</v>
      </c>
      <c r="G28" s="3"/>
      <c r="H28" s="3"/>
      <c r="I28" s="3"/>
    </row>
    <row r="29" spans="1:9" ht="60" customHeight="1">
      <c r="A29" s="2" t="s">
        <v>122</v>
      </c>
      <c r="B29" s="3" t="s">
        <v>123</v>
      </c>
      <c r="C29" s="3" t="s">
        <v>124</v>
      </c>
      <c r="D29" s="3" t="s">
        <v>125</v>
      </c>
      <c r="E29" s="3" t="s">
        <v>126</v>
      </c>
      <c r="F29" s="4" t="s">
        <v>14</v>
      </c>
      <c r="G29" s="3"/>
      <c r="H29" s="3"/>
      <c r="I29" s="3"/>
    </row>
    <row r="30" spans="1:9" ht="60" customHeight="1">
      <c r="A30" s="2" t="s">
        <v>122</v>
      </c>
      <c r="B30" s="3" t="s">
        <v>127</v>
      </c>
      <c r="C30" s="3" t="s">
        <v>128</v>
      </c>
      <c r="D30" s="3" t="s">
        <v>129</v>
      </c>
      <c r="E30" s="3" t="s">
        <v>130</v>
      </c>
      <c r="F30" s="4" t="s">
        <v>14</v>
      </c>
      <c r="G30" s="3"/>
      <c r="H30" s="3"/>
      <c r="I30" s="3"/>
    </row>
    <row r="31" spans="1:9" ht="60" customHeight="1">
      <c r="A31" s="2" t="s">
        <v>122</v>
      </c>
      <c r="B31" s="3" t="s">
        <v>131</v>
      </c>
      <c r="C31" s="3" t="s">
        <v>132</v>
      </c>
      <c r="D31" s="3" t="s">
        <v>133</v>
      </c>
      <c r="E31" s="3" t="s">
        <v>134</v>
      </c>
      <c r="F31" s="4" t="s">
        <v>14</v>
      </c>
      <c r="G31" s="3"/>
      <c r="H31" s="3"/>
      <c r="I31" s="3"/>
    </row>
    <row r="32" spans="1:9" ht="60" customHeight="1">
      <c r="A32" s="2" t="s">
        <v>122</v>
      </c>
      <c r="B32" s="3" t="s">
        <v>135</v>
      </c>
      <c r="C32" s="3" t="s">
        <v>136</v>
      </c>
      <c r="D32" s="3" t="s">
        <v>137</v>
      </c>
      <c r="E32" s="3" t="s">
        <v>138</v>
      </c>
      <c r="F32" s="4" t="s">
        <v>14</v>
      </c>
      <c r="G32" s="3"/>
      <c r="H32" s="3"/>
      <c r="I32" s="3"/>
    </row>
    <row r="33" spans="1:9" ht="60" customHeight="1">
      <c r="A33" s="2" t="s">
        <v>139</v>
      </c>
      <c r="B33" s="3" t="s">
        <v>140</v>
      </c>
      <c r="C33" s="3" t="s">
        <v>141</v>
      </c>
      <c r="D33" s="3" t="s">
        <v>142</v>
      </c>
      <c r="E33" s="3" t="s">
        <v>143</v>
      </c>
      <c r="F33" s="4" t="s">
        <v>14</v>
      </c>
      <c r="G33" s="3"/>
      <c r="H33" s="3"/>
      <c r="I33" s="3"/>
    </row>
    <row r="34" spans="1:9" ht="60" customHeight="1">
      <c r="A34" s="2" t="s">
        <v>139</v>
      </c>
      <c r="B34" s="3" t="s">
        <v>144</v>
      </c>
      <c r="C34" s="3" t="s">
        <v>145</v>
      </c>
      <c r="D34" s="3" t="s">
        <v>146</v>
      </c>
      <c r="E34" s="3" t="s">
        <v>147</v>
      </c>
      <c r="F34" s="4" t="s">
        <v>14</v>
      </c>
      <c r="G34" s="3"/>
      <c r="H34" s="3"/>
      <c r="I34" s="3"/>
    </row>
    <row r="35" spans="1:9" ht="60" customHeight="1">
      <c r="A35" s="2" t="s">
        <v>139</v>
      </c>
      <c r="B35" s="3" t="s">
        <v>148</v>
      </c>
      <c r="C35" s="3" t="s">
        <v>149</v>
      </c>
      <c r="D35" s="3" t="s">
        <v>150</v>
      </c>
      <c r="E35" s="3" t="s">
        <v>151</v>
      </c>
      <c r="F35" s="4" t="s">
        <v>14</v>
      </c>
      <c r="G35" s="3"/>
      <c r="H35" s="3"/>
      <c r="I35" s="3"/>
    </row>
    <row r="36" spans="1:9" ht="60" customHeight="1">
      <c r="A36" s="2" t="s">
        <v>139</v>
      </c>
      <c r="B36" s="3" t="s">
        <v>152</v>
      </c>
      <c r="C36" s="3" t="s">
        <v>153</v>
      </c>
      <c r="D36" s="3" t="s">
        <v>154</v>
      </c>
      <c r="E36" s="3" t="s">
        <v>155</v>
      </c>
      <c r="F36" s="4" t="s">
        <v>14</v>
      </c>
      <c r="G36" s="3"/>
      <c r="H36" s="3"/>
      <c r="I36" s="3"/>
    </row>
    <row r="37" spans="1:9" ht="60" customHeight="1">
      <c r="A37" s="2" t="s">
        <v>139</v>
      </c>
      <c r="B37" s="3" t="s">
        <v>156</v>
      </c>
      <c r="C37" s="3" t="s">
        <v>157</v>
      </c>
      <c r="D37" s="3" t="s">
        <v>158</v>
      </c>
      <c r="E37" s="3" t="s">
        <v>159</v>
      </c>
      <c r="F37" s="4" t="s">
        <v>14</v>
      </c>
      <c r="G37" s="3"/>
      <c r="H37" s="3"/>
      <c r="I37" s="3"/>
    </row>
    <row r="38" spans="1:9" ht="60" customHeight="1">
      <c r="A38" s="2" t="s">
        <v>160</v>
      </c>
      <c r="B38" s="3" t="s">
        <v>161</v>
      </c>
      <c r="C38" s="3" t="s">
        <v>162</v>
      </c>
      <c r="D38" s="3" t="s">
        <v>163</v>
      </c>
      <c r="E38" s="3" t="s">
        <v>164</v>
      </c>
      <c r="F38" s="4" t="s">
        <v>14</v>
      </c>
      <c r="G38" s="3"/>
      <c r="H38" s="3"/>
      <c r="I38" s="3"/>
    </row>
    <row r="39" spans="1:9" ht="60" customHeight="1">
      <c r="A39" s="2" t="s">
        <v>160</v>
      </c>
      <c r="B39" s="3" t="s">
        <v>165</v>
      </c>
      <c r="C39" s="3" t="s">
        <v>166</v>
      </c>
      <c r="D39" s="3" t="s">
        <v>167</v>
      </c>
      <c r="E39" s="3" t="s">
        <v>168</v>
      </c>
      <c r="F39" s="4" t="s">
        <v>14</v>
      </c>
      <c r="G39" s="3"/>
      <c r="H39" s="3"/>
      <c r="I39" s="3"/>
    </row>
    <row r="40" spans="1:9" ht="60" customHeight="1">
      <c r="A40" s="2" t="s">
        <v>160</v>
      </c>
      <c r="B40" s="3" t="s">
        <v>169</v>
      </c>
      <c r="C40" s="3" t="s">
        <v>170</v>
      </c>
      <c r="D40" s="3" t="s">
        <v>171</v>
      </c>
      <c r="E40" s="3" t="s">
        <v>172</v>
      </c>
      <c r="F40" s="4" t="s">
        <v>14</v>
      </c>
      <c r="G40" s="3"/>
      <c r="H40" s="3"/>
      <c r="I40" s="3"/>
    </row>
    <row r="41" spans="1:9" ht="60" customHeight="1">
      <c r="A41" s="2" t="s">
        <v>160</v>
      </c>
      <c r="B41" s="3" t="s">
        <v>173</v>
      </c>
      <c r="C41" s="3" t="s">
        <v>174</v>
      </c>
      <c r="D41" s="3" t="s">
        <v>175</v>
      </c>
      <c r="E41" s="3" t="s">
        <v>176</v>
      </c>
      <c r="F41" s="4" t="s">
        <v>14</v>
      </c>
      <c r="G41" s="3"/>
      <c r="H41" s="3"/>
      <c r="I41" s="3"/>
    </row>
    <row r="42" spans="1:9" ht="60" customHeight="1">
      <c r="A42" s="2" t="s">
        <v>160</v>
      </c>
      <c r="B42" s="3" t="s">
        <v>177</v>
      </c>
      <c r="C42" s="3" t="s">
        <v>178</v>
      </c>
      <c r="D42" s="3" t="s">
        <v>179</v>
      </c>
      <c r="E42" s="3" t="s">
        <v>180</v>
      </c>
      <c r="F42" s="4" t="s">
        <v>14</v>
      </c>
      <c r="G42" s="3"/>
      <c r="H42" s="3"/>
      <c r="I42" s="3"/>
    </row>
    <row r="43" spans="1:9" ht="60" customHeight="1">
      <c r="A43" s="2" t="s">
        <v>160</v>
      </c>
      <c r="B43" s="3" t="s">
        <v>181</v>
      </c>
      <c r="C43" s="3" t="s">
        <v>182</v>
      </c>
      <c r="D43" s="3" t="s">
        <v>183</v>
      </c>
      <c r="E43" s="3" t="s">
        <v>184</v>
      </c>
      <c r="F43" s="4" t="s">
        <v>14</v>
      </c>
      <c r="G43" s="3"/>
      <c r="H43" s="3"/>
      <c r="I43" s="3"/>
    </row>
  </sheetData>
  <dataValidations count="42">
    <dataValidation type="list" allowBlank="1" showInputMessage="1" showErrorMessage="1" promptTitle="Select Status" prompt="Choose test status" sqref="F2">
      <formula1>"Not Tested,Passed,Failed,Blocked"</formula1>
    </dataValidation>
    <dataValidation type="list" allowBlank="1" showInputMessage="1" showErrorMessage="1" promptTitle="Select Status" prompt="Choose test status" sqref="F3">
      <formula1>"Not Tested,Passed,Failed,Blocked"</formula1>
    </dataValidation>
    <dataValidation type="list" allowBlank="1" showInputMessage="1" showErrorMessage="1" promptTitle="Select Status" prompt="Choose test status" sqref="F4">
      <formula1>"Not Tested,Passed,Failed,Blocked"</formula1>
    </dataValidation>
    <dataValidation type="list" allowBlank="1" showInputMessage="1" showErrorMessage="1" promptTitle="Select Status" prompt="Choose test status" sqref="F5">
      <formula1>"Not Tested,Passed,Failed,Blocked"</formula1>
    </dataValidation>
    <dataValidation type="list" allowBlank="1" showInputMessage="1" showErrorMessage="1" promptTitle="Select Status" prompt="Choose test status" sqref="F6">
      <formula1>"Not Tested,Passed,Failed,Blocked"</formula1>
    </dataValidation>
    <dataValidation type="list" allowBlank="1" showInputMessage="1" showErrorMessage="1" promptTitle="Select Status" prompt="Choose test status" sqref="F7">
      <formula1>"Not Tested,Passed,Failed,Blocked"</formula1>
    </dataValidation>
    <dataValidation type="list" allowBlank="1" showInputMessage="1" showErrorMessage="1" promptTitle="Select Status" prompt="Choose test status" sqref="F8">
      <formula1>"Not Tested,Passed,Failed,Blocked"</formula1>
    </dataValidation>
    <dataValidation type="list" allowBlank="1" showInputMessage="1" showErrorMessage="1" promptTitle="Select Status" prompt="Choose test status" sqref="F9">
      <formula1>"Not Tested,Passed,Failed,Blocked"</formula1>
    </dataValidation>
    <dataValidation type="list" allowBlank="1" showInputMessage="1" showErrorMessage="1" promptTitle="Select Status" prompt="Choose test status" sqref="F10">
      <formula1>"Not Tested,Passed,Failed,Blocked"</formula1>
    </dataValidation>
    <dataValidation type="list" allowBlank="1" showInputMessage="1" showErrorMessage="1" promptTitle="Select Status" prompt="Choose test status" sqref="F11">
      <formula1>"Not Tested,Passed,Failed,Blocked"</formula1>
    </dataValidation>
    <dataValidation type="list" allowBlank="1" showInputMessage="1" showErrorMessage="1" promptTitle="Select Status" prompt="Choose test status" sqref="F12">
      <formula1>"Not Tested,Passed,Failed,Blocked"</formula1>
    </dataValidation>
    <dataValidation type="list" allowBlank="1" showInputMessage="1" showErrorMessage="1" promptTitle="Select Status" prompt="Choose test status" sqref="F13">
      <formula1>"Not Tested,Passed,Failed,Blocked"</formula1>
    </dataValidation>
    <dataValidation type="list" allowBlank="1" showInputMessage="1" showErrorMessage="1" promptTitle="Select Status" prompt="Choose test status" sqref="F14">
      <formula1>"Not Tested,Passed,Failed,Blocked"</formula1>
    </dataValidation>
    <dataValidation type="list" allowBlank="1" showInputMessage="1" showErrorMessage="1" promptTitle="Select Status" prompt="Choose test status" sqref="F15">
      <formula1>"Not Tested,Passed,Failed,Blocked"</formula1>
    </dataValidation>
    <dataValidation type="list" allowBlank="1" showInputMessage="1" showErrorMessage="1" promptTitle="Select Status" prompt="Choose test status" sqref="F16">
      <formula1>"Not Tested,Passed,Failed,Blocked"</formula1>
    </dataValidation>
    <dataValidation type="list" allowBlank="1" showInputMessage="1" showErrorMessage="1" promptTitle="Select Status" prompt="Choose test status" sqref="F17">
      <formula1>"Not Tested,Passed,Failed,Blocked"</formula1>
    </dataValidation>
    <dataValidation type="list" allowBlank="1" showInputMessage="1" showErrorMessage="1" promptTitle="Select Status" prompt="Choose test status" sqref="F18">
      <formula1>"Not Tested,Passed,Failed,Blocked"</formula1>
    </dataValidation>
    <dataValidation type="list" allowBlank="1" showInputMessage="1" showErrorMessage="1" promptTitle="Select Status" prompt="Choose test status" sqref="F19">
      <formula1>"Not Tested,Passed,Failed,Blocked"</formula1>
    </dataValidation>
    <dataValidation type="list" allowBlank="1" showInputMessage="1" showErrorMessage="1" promptTitle="Select Status" prompt="Choose test status" sqref="F20">
      <formula1>"Not Tested,Passed,Failed,Blocked"</formula1>
    </dataValidation>
    <dataValidation type="list" allowBlank="1" showInputMessage="1" showErrorMessage="1" promptTitle="Select Status" prompt="Choose test status" sqref="F21">
      <formula1>"Not Tested,Passed,Failed,Blocked"</formula1>
    </dataValidation>
    <dataValidation type="list" allowBlank="1" showInputMessage="1" showErrorMessage="1" promptTitle="Select Status" prompt="Choose test status" sqref="F22">
      <formula1>"Not Tested,Passed,Failed,Blocked"</formula1>
    </dataValidation>
    <dataValidation type="list" allowBlank="1" showInputMessage="1" showErrorMessage="1" promptTitle="Select Status" prompt="Choose test status" sqref="F23">
      <formula1>"Not Tested,Passed,Failed,Blocked"</formula1>
    </dataValidation>
    <dataValidation type="list" allowBlank="1" showInputMessage="1" showErrorMessage="1" promptTitle="Select Status" prompt="Choose test status" sqref="F24">
      <formula1>"Not Tested,Passed,Failed,Blocked"</formula1>
    </dataValidation>
    <dataValidation type="list" allowBlank="1" showInputMessage="1" showErrorMessage="1" promptTitle="Select Status" prompt="Choose test status" sqref="F25">
      <formula1>"Not Tested,Passed,Failed,Blocked"</formula1>
    </dataValidation>
    <dataValidation type="list" allowBlank="1" showInputMessage="1" showErrorMessage="1" promptTitle="Select Status" prompt="Choose test status" sqref="F26">
      <formula1>"Not Tested,Passed,Failed,Blocked"</formula1>
    </dataValidation>
    <dataValidation type="list" allowBlank="1" showInputMessage="1" showErrorMessage="1" promptTitle="Select Status" prompt="Choose test status" sqref="F27">
      <formula1>"Not Tested,Passed,Failed,Blocked"</formula1>
    </dataValidation>
    <dataValidation type="list" allowBlank="1" showInputMessage="1" showErrorMessage="1" promptTitle="Select Status" prompt="Choose test status" sqref="F28">
      <formula1>"Not Tested,Passed,Failed,Blocked"</formula1>
    </dataValidation>
    <dataValidation type="list" allowBlank="1" showInputMessage="1" showErrorMessage="1" promptTitle="Select Status" prompt="Choose test status" sqref="F29">
      <formula1>"Not Tested,Passed,Failed,Blocked"</formula1>
    </dataValidation>
    <dataValidation type="list" allowBlank="1" showInputMessage="1" showErrorMessage="1" promptTitle="Select Status" prompt="Choose test status" sqref="F30">
      <formula1>"Not Tested,Passed,Failed,Blocked"</formula1>
    </dataValidation>
    <dataValidation type="list" allowBlank="1" showInputMessage="1" showErrorMessage="1" promptTitle="Select Status" prompt="Choose test status" sqref="F31">
      <formula1>"Not Tested,Passed,Failed,Blocked"</formula1>
    </dataValidation>
    <dataValidation type="list" allowBlank="1" showInputMessage="1" showErrorMessage="1" promptTitle="Select Status" prompt="Choose test status" sqref="F32">
      <formula1>"Not Tested,Passed,Failed,Blocked"</formula1>
    </dataValidation>
    <dataValidation type="list" allowBlank="1" showInputMessage="1" showErrorMessage="1" promptTitle="Select Status" prompt="Choose test status" sqref="F33">
      <formula1>"Not Tested,Passed,Failed,Blocked"</formula1>
    </dataValidation>
    <dataValidation type="list" allowBlank="1" showInputMessage="1" showErrorMessage="1" promptTitle="Select Status" prompt="Choose test status" sqref="F34">
      <formula1>"Not Tested,Passed,Failed,Blocked"</formula1>
    </dataValidation>
    <dataValidation type="list" allowBlank="1" showInputMessage="1" showErrorMessage="1" promptTitle="Select Status" prompt="Choose test status" sqref="F35">
      <formula1>"Not Tested,Passed,Failed,Blocked"</formula1>
    </dataValidation>
    <dataValidation type="list" allowBlank="1" showInputMessage="1" showErrorMessage="1" promptTitle="Select Status" prompt="Choose test status" sqref="F36">
      <formula1>"Not Tested,Passed,Failed,Blocked"</formula1>
    </dataValidation>
    <dataValidation type="list" allowBlank="1" showInputMessage="1" showErrorMessage="1" promptTitle="Select Status" prompt="Choose test status" sqref="F37">
      <formula1>"Not Tested,Passed,Failed,Blocked"</formula1>
    </dataValidation>
    <dataValidation type="list" allowBlank="1" showInputMessage="1" showErrorMessage="1" promptTitle="Select Status" prompt="Choose test status" sqref="F38">
      <formula1>"Not Tested,Passed,Failed,Blocked"</formula1>
    </dataValidation>
    <dataValidation type="list" allowBlank="1" showInputMessage="1" showErrorMessage="1" promptTitle="Select Status" prompt="Choose test status" sqref="F39">
      <formula1>"Not Tested,Passed,Failed,Blocked"</formula1>
    </dataValidation>
    <dataValidation type="list" allowBlank="1" showInputMessage="1" showErrorMessage="1" promptTitle="Select Status" prompt="Choose test status" sqref="F40">
      <formula1>"Not Tested,Passed,Failed,Blocked"</formula1>
    </dataValidation>
    <dataValidation type="list" allowBlank="1" showInputMessage="1" showErrorMessage="1" promptTitle="Select Status" prompt="Choose test status" sqref="F41">
      <formula1>"Not Tested,Passed,Failed,Blocked"</formula1>
    </dataValidation>
    <dataValidation type="list" allowBlank="1" showInputMessage="1" showErrorMessage="1" promptTitle="Select Status" prompt="Choose test status" sqref="F42">
      <formula1>"Not Tested,Passed,Failed,Blocked"</formula1>
    </dataValidation>
    <dataValidation type="list" allowBlank="1" showInputMessage="1" showErrorMessage="1" promptTitle="Select Status" prompt="Choose test status" sqref="F43">
      <formula1>"Not Tested,Passed,Failed,Blocked"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0.7109375" customWidth="1"/>
    <col min="2" max="6" width="15.7109375" customWidth="1"/>
  </cols>
  <sheetData>
    <row r="1" spans="1:6">
      <c r="A1" s="5" t="s">
        <v>0</v>
      </c>
      <c r="B1" s="5" t="s">
        <v>185</v>
      </c>
      <c r="C1" s="5" t="s">
        <v>186</v>
      </c>
      <c r="D1" s="5" t="s">
        <v>187</v>
      </c>
      <c r="E1" s="5" t="s">
        <v>14</v>
      </c>
      <c r="F1" s="5" t="s">
        <v>188</v>
      </c>
    </row>
    <row r="2" spans="1:6">
      <c r="A2" s="6" t="s">
        <v>9</v>
      </c>
      <c r="B2" s="6">
        <f>COUNTIF('Test Cases'!$A:$A,A2)</f>
        <v>0</v>
      </c>
      <c r="C2" s="6">
        <f>COUNTIFS('Test Cases'!$A:$A,A2,'Test Cases'!$F:$F,"Passed")</f>
        <v>0</v>
      </c>
      <c r="D2" s="6">
        <f>COUNTIFS('Test Cases'!$A:$A,A2,'Test Cases'!$F:$F,"Failed")</f>
        <v>0</v>
      </c>
      <c r="E2" s="6">
        <f>COUNTIFS('Test Cases'!$A:$A,A2,'Test Cases'!$F:$F,"Not Tested")</f>
        <v>0</v>
      </c>
      <c r="F2" s="6">
        <f>IF(B2=0,"0%",TEXT(C2/B2,"0%"))</f>
        <v>0</v>
      </c>
    </row>
    <row r="3" spans="1:6">
      <c r="A3" s="6" t="s">
        <v>47</v>
      </c>
      <c r="B3" s="6">
        <f>COUNTIF('Test Cases'!$A:$A,A3)</f>
        <v>0</v>
      </c>
      <c r="C3" s="6">
        <f>COUNTIFS('Test Cases'!$A:$A,A3,'Test Cases'!$F:$F,"Passed")</f>
        <v>0</v>
      </c>
      <c r="D3" s="6">
        <f>COUNTIFS('Test Cases'!$A:$A,A3,'Test Cases'!$F:$F,"Failed")</f>
        <v>0</v>
      </c>
      <c r="E3" s="6">
        <f>COUNTIFS('Test Cases'!$A:$A,A3,'Test Cases'!$F:$F,"Not Tested")</f>
        <v>0</v>
      </c>
      <c r="F3" s="6">
        <f>IF(B3=0,"0%",TEXT(C3/B3,"0%"))</f>
        <v>0</v>
      </c>
    </row>
    <row r="4" spans="1:6">
      <c r="A4" s="6" t="s">
        <v>68</v>
      </c>
      <c r="B4" s="6">
        <f>COUNTIF('Test Cases'!$A:$A,A4)</f>
        <v>0</v>
      </c>
      <c r="C4" s="6">
        <f>COUNTIFS('Test Cases'!$A:$A,A4,'Test Cases'!$F:$F,"Passed")</f>
        <v>0</v>
      </c>
      <c r="D4" s="6">
        <f>COUNTIFS('Test Cases'!$A:$A,A4,'Test Cases'!$F:$F,"Failed")</f>
        <v>0</v>
      </c>
      <c r="E4" s="6">
        <f>COUNTIFS('Test Cases'!$A:$A,A4,'Test Cases'!$F:$F,"Not Tested")</f>
        <v>0</v>
      </c>
      <c r="F4" s="6">
        <f>IF(B4=0,"0%",TEXT(C4/B4,"0%"))</f>
        <v>0</v>
      </c>
    </row>
    <row r="5" spans="1:6">
      <c r="A5" s="6" t="s">
        <v>89</v>
      </c>
      <c r="B5" s="6">
        <f>COUNTIF('Test Cases'!$A:$A,A5)</f>
        <v>0</v>
      </c>
      <c r="C5" s="6">
        <f>COUNTIFS('Test Cases'!$A:$A,A5,'Test Cases'!$F:$F,"Passed")</f>
        <v>0</v>
      </c>
      <c r="D5" s="6">
        <f>COUNTIFS('Test Cases'!$A:$A,A5,'Test Cases'!$F:$F,"Failed")</f>
        <v>0</v>
      </c>
      <c r="E5" s="6">
        <f>COUNTIFS('Test Cases'!$A:$A,A5,'Test Cases'!$F:$F,"Not Tested")</f>
        <v>0</v>
      </c>
      <c r="F5" s="6">
        <f>IF(B5=0,"0%",TEXT(C5/B5,"0%"))</f>
        <v>0</v>
      </c>
    </row>
    <row r="6" spans="1:6">
      <c r="A6" s="6" t="s">
        <v>122</v>
      </c>
      <c r="B6" s="6">
        <f>COUNTIF('Test Cases'!$A:$A,A6)</f>
        <v>0</v>
      </c>
      <c r="C6" s="6">
        <f>COUNTIFS('Test Cases'!$A:$A,A6,'Test Cases'!$F:$F,"Passed")</f>
        <v>0</v>
      </c>
      <c r="D6" s="6">
        <f>COUNTIFS('Test Cases'!$A:$A,A6,'Test Cases'!$F:$F,"Failed")</f>
        <v>0</v>
      </c>
      <c r="E6" s="6">
        <f>COUNTIFS('Test Cases'!$A:$A,A6,'Test Cases'!$F:$F,"Not Tested")</f>
        <v>0</v>
      </c>
      <c r="F6" s="6">
        <f>IF(B6=0,"0%",TEXT(C6/B6,"0%"))</f>
        <v>0</v>
      </c>
    </row>
    <row r="7" spans="1:6">
      <c r="A7" s="6" t="s">
        <v>139</v>
      </c>
      <c r="B7" s="6">
        <f>COUNTIF('Test Cases'!$A:$A,A7)</f>
        <v>0</v>
      </c>
      <c r="C7" s="6">
        <f>COUNTIFS('Test Cases'!$A:$A,A7,'Test Cases'!$F:$F,"Passed")</f>
        <v>0</v>
      </c>
      <c r="D7" s="6">
        <f>COUNTIFS('Test Cases'!$A:$A,A7,'Test Cases'!$F:$F,"Failed")</f>
        <v>0</v>
      </c>
      <c r="E7" s="6">
        <f>COUNTIFS('Test Cases'!$A:$A,A7,'Test Cases'!$F:$F,"Not Tested")</f>
        <v>0</v>
      </c>
      <c r="F7" s="6">
        <f>IF(B7=0,"0%",TEXT(C7/B7,"0%"))</f>
        <v>0</v>
      </c>
    </row>
    <row r="8" spans="1:6">
      <c r="A8" s="6" t="s">
        <v>160</v>
      </c>
      <c r="B8" s="6">
        <f>COUNTIF('Test Cases'!$A:$A,A8)</f>
        <v>0</v>
      </c>
      <c r="C8" s="6">
        <f>COUNTIFS('Test Cases'!$A:$A,A8,'Test Cases'!$F:$F,"Passed")</f>
        <v>0</v>
      </c>
      <c r="D8" s="6">
        <f>COUNTIFS('Test Cases'!$A:$A,A8,'Test Cases'!$F:$F,"Failed")</f>
        <v>0</v>
      </c>
      <c r="E8" s="6">
        <f>COUNTIFS('Test Cases'!$A:$A,A8,'Test Cases'!$F:$F,"Not Tested")</f>
        <v>0</v>
      </c>
      <c r="F8" s="6">
        <f>IF(B8=0,"0%",TEXT(C8/B8,"0%"))</f>
        <v>0</v>
      </c>
    </row>
    <row r="9" spans="1:6">
      <c r="A9" s="7" t="s">
        <v>189</v>
      </c>
      <c r="B9" s="7">
        <f>SUM(B2:B8)</f>
        <v>0</v>
      </c>
      <c r="C9" s="7">
        <f>SUM(C2:C8)</f>
        <v>0</v>
      </c>
      <c r="D9" s="7">
        <f>SUM(D2:D8)</f>
        <v>0</v>
      </c>
      <c r="E9" s="7">
        <f>SUM(E2:E8)</f>
        <v>0</v>
      </c>
      <c r="F9" s="7">
        <f>IF(B9=0,"0%",TEXT(C9/B9,"0%"))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2026-05-23T02:57:03Z</dcterms:created>
  <dcterms:modified xsi:type="dcterms:W3CDTF">2026-05-23T02:57:03Z</dcterms:modified>
</cp:coreProperties>
</file>